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abrah\OneDrive - Michigan Medicine\Desktop\"/>
    </mc:Choice>
  </mc:AlternateContent>
  <xr:revisionPtr revIDLastSave="0" documentId="13_ncr:1_{356487CE-895E-44C0-8D33-E70D5686AB47}" xr6:coauthVersionLast="47" xr6:coauthVersionMax="47" xr10:uidLastSave="{00000000-0000-0000-0000-000000000000}"/>
  <bookViews>
    <workbookView xWindow="-120" yWindow="-120" windowWidth="29040" windowHeight="15840" activeTab="1" xr2:uid="{0F5E6355-7A93-410B-96B1-BFC042E72ACB}"/>
  </bookViews>
  <sheets>
    <sheet name="Raw data with differences" sheetId="1" r:id="rId1"/>
    <sheet name="Structured data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B15" i="1"/>
  <c r="C15" i="1"/>
  <c r="D15" i="1"/>
  <c r="E15" i="1"/>
  <c r="F15" i="1"/>
  <c r="G15" i="1"/>
  <c r="H15" i="1"/>
  <c r="I15" i="1"/>
  <c r="J15" i="1"/>
  <c r="K15" i="1"/>
  <c r="L15" i="1"/>
  <c r="A16" i="1"/>
  <c r="B16" i="1"/>
  <c r="C16" i="1"/>
  <c r="D16" i="1"/>
  <c r="E16" i="1"/>
  <c r="F16" i="1"/>
  <c r="G16" i="1"/>
  <c r="H16" i="1"/>
  <c r="I16" i="1"/>
  <c r="J16" i="1"/>
  <c r="K16" i="1"/>
  <c r="L16" i="1"/>
  <c r="B14" i="1"/>
  <c r="C14" i="1"/>
  <c r="D14" i="1"/>
  <c r="E14" i="1"/>
  <c r="F14" i="1"/>
  <c r="G14" i="1"/>
  <c r="H14" i="1"/>
  <c r="I14" i="1"/>
  <c r="J14" i="1"/>
  <c r="K14" i="1"/>
  <c r="L14" i="1"/>
  <c r="A14" i="1"/>
</calcChain>
</file>

<file path=xl/sharedStrings.xml><?xml version="1.0" encoding="utf-8"?>
<sst xmlns="http://schemas.openxmlformats.org/spreadsheetml/2006/main" count="34" uniqueCount="34">
  <si>
    <t>GFOGER</t>
  </si>
  <si>
    <t>RGD</t>
  </si>
  <si>
    <t xml:space="preserve">LAMANIN </t>
  </si>
  <si>
    <t>COL</t>
  </si>
  <si>
    <t>FIB,VIT,TROP</t>
  </si>
  <si>
    <t>GFOGER + RGD</t>
  </si>
  <si>
    <t xml:space="preserve">LAMANIN + GFOGER </t>
  </si>
  <si>
    <t>LAMANIN + RGD</t>
  </si>
  <si>
    <t>ALL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</si>
  <si>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</si>
  <si>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</si>
  <si>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</si>
  <si>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</si>
  <si>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</si>
  <si>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</si>
  <si>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</si>
  <si>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</si>
  <si>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</si>
  <si>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</si>
  <si>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</si>
  <si>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</si>
  <si>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WT</t>
  </si>
  <si>
    <t xml:space="preserve">AMPkcKO </t>
  </si>
  <si>
    <t xml:space="preserve">Genotype </t>
  </si>
  <si>
    <t>Fibronectin</t>
  </si>
  <si>
    <t>Vitronectin</t>
  </si>
  <si>
    <t>Tropoelastin</t>
  </si>
  <si>
    <t>Laminin</t>
  </si>
  <si>
    <t xml:space="preserve">Col1 </t>
  </si>
  <si>
    <t>Col3</t>
  </si>
  <si>
    <t>Col4</t>
  </si>
  <si>
    <t>Col5</t>
  </si>
  <si>
    <t>Col6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</si>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</sst>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5A9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BC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" fillId="10" borderId="1" xfId="0" applyFont="1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6" borderId="3" xfId="0" applyFill="1" applyBorder="1"/>
    <xf numFmtId="0" fontId="0" fillId="7" borderId="3" xfId="0" applyFill="1" applyBorder="1"/>
    <xf numFmtId="0" fontId="1" fillId="6" borderId="3" xfId="0" applyFont="1" applyFill="1" applyBorder="1"/>
    <xf numFmtId="0" fontId="0" fillId="9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5" xfId="0" applyFill="1" applyBorder="1"/>
    <xf numFmtId="0" fontId="0" fillId="5" borderId="5" xfId="0" applyFill="1" applyBorder="1"/>
    <xf numFmtId="0" fontId="1" fillId="3" borderId="6" xfId="0" applyFont="1" applyFill="1" applyBorder="1"/>
    <xf numFmtId="0" fontId="0" fillId="0" borderId="0" xfId="0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C9FF"/>
      <color rgb="FFF5A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FC15-F830-40F4-B901-60EE56CBF4B2}">
  <dimension ref="A1:P16"/>
  <sheetViews>
    <sheetView workbookViewId="0">
      <selection activeCell="C20" sqref="C20"/>
    </sheetView>
  </sheetViews>
  <sheetFormatPr defaultColWidth="8.85546875" defaultRowHeight="15" x14ac:dyDescent="0.25"/>
  <cols>
    <col min="15" max="15" width="22" customWidth="1"/>
  </cols>
  <sheetData>
    <row r="1" spans="1:16" ht="15.75" thickBot="1" x14ac:dyDescent="0.3">
      <c r="A1" s="17">
        <v>60</v>
      </c>
      <c r="B1" s="18">
        <v>8</v>
      </c>
      <c r="C1" s="18">
        <v>12</v>
      </c>
      <c r="D1" s="18">
        <v>95</v>
      </c>
      <c r="E1" s="18">
        <v>114</v>
      </c>
      <c r="F1" s="19">
        <v>66</v>
      </c>
      <c r="G1" s="20">
        <v>6</v>
      </c>
      <c r="H1" s="19">
        <v>72</v>
      </c>
      <c r="I1" s="21">
        <v>47</v>
      </c>
      <c r="J1" s="11">
        <v>66</v>
      </c>
      <c r="K1" s="5">
        <v>11</v>
      </c>
      <c r="L1" s="10">
        <v>34</v>
      </c>
      <c r="O1" s="2" t="s">
        <v>0</v>
      </c>
      <c r="P1" t="s">
        <v>3</v>
      </c>
    </row>
    <row r="2" spans="1:16" x14ac:dyDescent="0.25">
      <c r="A2" s="12">
        <v>44</v>
      </c>
      <c r="B2" s="12">
        <v>31</v>
      </c>
      <c r="C2" s="12">
        <v>79</v>
      </c>
      <c r="D2" s="12">
        <v>56</v>
      </c>
      <c r="E2" s="13">
        <v>72</v>
      </c>
      <c r="F2" s="14">
        <v>18</v>
      </c>
      <c r="G2" s="15">
        <v>126</v>
      </c>
      <c r="H2" s="13">
        <v>157</v>
      </c>
      <c r="I2" s="16">
        <v>47</v>
      </c>
      <c r="J2" s="9">
        <v>47</v>
      </c>
      <c r="K2" s="9">
        <v>57</v>
      </c>
      <c r="L2" s="9">
        <v>83</v>
      </c>
      <c r="O2" s="3" t="s">
        <v>1</v>
      </c>
      <c r="P2" t="s">
        <v>4</v>
      </c>
    </row>
    <row r="3" spans="1:16" x14ac:dyDescent="0.25">
      <c r="A3" s="6">
        <v>43</v>
      </c>
      <c r="B3" s="6">
        <v>92</v>
      </c>
      <c r="C3" s="1">
        <v>57</v>
      </c>
      <c r="D3" s="3">
        <v>89</v>
      </c>
      <c r="E3" s="7">
        <v>9</v>
      </c>
      <c r="F3" s="7">
        <v>63</v>
      </c>
      <c r="G3" s="6">
        <v>113</v>
      </c>
      <c r="H3" s="6">
        <v>87</v>
      </c>
      <c r="I3" s="1">
        <v>81</v>
      </c>
      <c r="J3" s="3">
        <v>97</v>
      </c>
      <c r="K3" s="6">
        <v>70</v>
      </c>
      <c r="L3" s="6">
        <v>46</v>
      </c>
      <c r="O3" s="4" t="s">
        <v>2</v>
      </c>
    </row>
    <row r="4" spans="1:16" x14ac:dyDescent="0.25">
      <c r="A4" t="s">
        <v>22</v>
      </c>
      <c r="O4" s="6" t="s">
        <v>5</v>
      </c>
    </row>
    <row r="5" spans="1:16" x14ac:dyDescent="0.25">
      <c r="O5" s="7" t="s">
        <v>6</v>
      </c>
    </row>
    <row r="6" spans="1:16" ht="15.75" thickBot="1" x14ac:dyDescent="0.3">
      <c r="A6" s="22" t="s">
        <v>9</v>
      </c>
      <c r="B6" s="22" t="s">
        <v>10</v>
      </c>
      <c r="C6" s="22" t="s">
        <v>11</v>
      </c>
      <c r="D6" s="22" t="s">
        <v>12</v>
      </c>
      <c r="E6" s="22" t="s">
        <v>13</v>
      </c>
      <c r="F6" s="22" t="s">
        <v>14</v>
      </c>
      <c r="G6" s="22" t="s">
        <v>15</v>
      </c>
      <c r="H6" s="22" t="s">
        <v>16</v>
      </c>
      <c r="I6" s="22" t="s">
        <v>17</v>
      </c>
      <c r="J6" s="22" t="s">
        <v>18</v>
      </c>
      <c r="K6" s="22" t="s">
        <v>19</v>
      </c>
      <c r="L6" s="22" t="s">
        <v>20</v>
      </c>
      <c r="O6" s="1" t="s">
        <v>7</v>
      </c>
    </row>
    <row r="7" spans="1:16" ht="15.75" thickBot="1" x14ac:dyDescent="0.3">
      <c r="A7" s="17">
        <v>99</v>
      </c>
      <c r="B7" s="18">
        <v>11</v>
      </c>
      <c r="C7" s="18">
        <v>1</v>
      </c>
      <c r="D7" s="18">
        <v>76</v>
      </c>
      <c r="E7" s="18">
        <v>275</v>
      </c>
      <c r="F7" s="19">
        <v>443</v>
      </c>
      <c r="G7" s="20">
        <v>131</v>
      </c>
      <c r="H7" s="19">
        <v>275</v>
      </c>
      <c r="I7" s="21">
        <v>17</v>
      </c>
      <c r="J7" s="11">
        <v>181</v>
      </c>
      <c r="K7" s="5">
        <v>80</v>
      </c>
      <c r="L7" s="10">
        <v>0</v>
      </c>
      <c r="M7">
        <v>1</v>
      </c>
      <c r="O7" s="8" t="s">
        <v>8</v>
      </c>
    </row>
    <row r="8" spans="1:16" x14ac:dyDescent="0.25">
      <c r="A8" s="12">
        <v>151</v>
      </c>
      <c r="B8" s="12">
        <v>206</v>
      </c>
      <c r="C8" s="12">
        <v>115</v>
      </c>
      <c r="D8" s="12">
        <v>56</v>
      </c>
      <c r="E8" s="13">
        <v>139</v>
      </c>
      <c r="F8" s="14">
        <v>202</v>
      </c>
      <c r="G8" s="15">
        <v>408</v>
      </c>
      <c r="H8" s="13">
        <v>283</v>
      </c>
      <c r="I8" s="16">
        <v>325</v>
      </c>
      <c r="J8" s="9">
        <v>233</v>
      </c>
      <c r="K8" s="9">
        <v>226</v>
      </c>
      <c r="L8" s="9">
        <v>84</v>
      </c>
      <c r="M8">
        <v>2</v>
      </c>
    </row>
    <row r="9" spans="1:16" x14ac:dyDescent="0.25">
      <c r="A9" s="6">
        <v>211</v>
      </c>
      <c r="B9" s="6">
        <v>206</v>
      </c>
      <c r="C9" s="1">
        <v>158</v>
      </c>
      <c r="D9" s="3">
        <v>316</v>
      </c>
      <c r="E9" s="7">
        <v>1</v>
      </c>
      <c r="F9" s="7">
        <v>206</v>
      </c>
      <c r="G9" s="6">
        <v>249</v>
      </c>
      <c r="H9" s="6">
        <v>273</v>
      </c>
      <c r="I9" s="1">
        <v>308</v>
      </c>
      <c r="J9" s="3">
        <v>195</v>
      </c>
      <c r="K9" s="6">
        <v>11</v>
      </c>
      <c r="L9" s="6">
        <v>94</v>
      </c>
      <c r="M9">
        <v>3</v>
      </c>
    </row>
    <row r="10" spans="1:16" x14ac:dyDescent="0.25">
      <c r="A10" t="s">
        <v>21</v>
      </c>
    </row>
    <row r="14" spans="1:16" x14ac:dyDescent="0.25">
      <c r="A14">
        <f>A7-A1</f>
        <v>39</v>
      </c>
      <c r="B14">
        <f t="shared" ref="B14:L14" si="0">B7-B1</f>
        <v>3</v>
      </c>
      <c r="C14">
        <f t="shared" si="0"/>
        <v>-11</v>
      </c>
      <c r="D14">
        <f t="shared" si="0"/>
        <v>-19</v>
      </c>
      <c r="E14">
        <f t="shared" si="0"/>
        <v>161</v>
      </c>
      <c r="F14">
        <f t="shared" si="0"/>
        <v>377</v>
      </c>
      <c r="G14">
        <f t="shared" si="0"/>
        <v>125</v>
      </c>
      <c r="H14">
        <f t="shared" si="0"/>
        <v>203</v>
      </c>
      <c r="I14">
        <f t="shared" si="0"/>
        <v>-30</v>
      </c>
      <c r="J14">
        <f t="shared" si="0"/>
        <v>115</v>
      </c>
      <c r="K14">
        <f t="shared" si="0"/>
        <v>69</v>
      </c>
      <c r="L14">
        <f t="shared" si="0"/>
        <v>-34</v>
      </c>
    </row>
    <row r="15" spans="1:16" x14ac:dyDescent="0.25">
      <c r="A15">
        <f t="shared" ref="A15:L15" si="1">A8-A2</f>
        <v>107</v>
      </c>
      <c r="B15">
        <f t="shared" si="1"/>
        <v>175</v>
      </c>
      <c r="C15">
        <f t="shared" si="1"/>
        <v>36</v>
      </c>
      <c r="D15">
        <f t="shared" si="1"/>
        <v>0</v>
      </c>
      <c r="E15">
        <f t="shared" si="1"/>
        <v>67</v>
      </c>
      <c r="F15">
        <f t="shared" si="1"/>
        <v>184</v>
      </c>
      <c r="G15">
        <f t="shared" si="1"/>
        <v>282</v>
      </c>
      <c r="H15">
        <f t="shared" si="1"/>
        <v>126</v>
      </c>
      <c r="I15">
        <f t="shared" si="1"/>
        <v>278</v>
      </c>
      <c r="J15">
        <f t="shared" si="1"/>
        <v>186</v>
      </c>
      <c r="K15">
        <f t="shared" si="1"/>
        <v>169</v>
      </c>
      <c r="L15">
        <f t="shared" si="1"/>
        <v>1</v>
      </c>
    </row>
    <row r="16" spans="1:16" x14ac:dyDescent="0.25">
      <c r="A16">
        <f t="shared" ref="A16:L16" si="2">A9-A3</f>
        <v>168</v>
      </c>
      <c r="B16">
        <f t="shared" si="2"/>
        <v>114</v>
      </c>
      <c r="C16">
        <f t="shared" si="2"/>
        <v>101</v>
      </c>
      <c r="D16">
        <f t="shared" si="2"/>
        <v>227</v>
      </c>
      <c r="E16">
        <f t="shared" si="2"/>
        <v>-8</v>
      </c>
      <c r="F16">
        <f t="shared" si="2"/>
        <v>143</v>
      </c>
      <c r="G16">
        <f t="shared" si="2"/>
        <v>136</v>
      </c>
      <c r="H16">
        <f t="shared" si="2"/>
        <v>186</v>
      </c>
      <c r="I16">
        <f t="shared" si="2"/>
        <v>227</v>
      </c>
      <c r="J16">
        <f t="shared" si="2"/>
        <v>98</v>
      </c>
      <c r="K16">
        <f t="shared" si="2"/>
        <v>-59</v>
      </c>
      <c r="L16">
        <f t="shared" si="2"/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3159-1F41-4BBF-88B6-2DBF6953F1C2}">
  <dimension ref="A1:K73"/>
  <sheetViews>
    <sheetView tabSelected="1" workbookViewId="0">
      <selection activeCell="A49" sqref="A49"/>
    </sheetView>
  </sheetViews>
  <sheetFormatPr defaultColWidth="8.85546875" defaultRowHeight="15" x14ac:dyDescent="0.25"/>
  <cols>
    <col min="1" max="1" width="11" bestFit="1" customWidth="1"/>
    <col min="2" max="2" width="11" customWidth="1"/>
  </cols>
  <sheetData>
    <row r="1" spans="1:11" x14ac:dyDescent="0.25">
      <c r="A1" t="s">
        <v>33</v>
      </c>
      <c r="B1" t="s">
        <v>23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24</v>
      </c>
      <c r="I1" t="s">
        <v>27</v>
      </c>
      <c r="J1" t="s">
        <v>25</v>
      </c>
      <c r="K1" t="s">
        <v>26</v>
      </c>
    </row>
    <row r="2" spans="1:11" x14ac:dyDescent="0.25">
      <c r="A2" s="23">
        <v>99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s="23">
        <v>11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s="23">
        <v>1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s="23">
        <v>76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s="23">
        <v>275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</row>
    <row r="7" spans="1:11" x14ac:dyDescent="0.25">
      <c r="A7" s="23">
        <v>443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</row>
    <row r="8" spans="1:11" x14ac:dyDescent="0.25">
      <c r="A8" s="23">
        <v>131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</row>
    <row r="9" spans="1:11" x14ac:dyDescent="0.25">
      <c r="A9" s="23">
        <v>275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</row>
    <row r="10" spans="1:11" x14ac:dyDescent="0.25">
      <c r="A10" s="24">
        <v>17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</row>
    <row r="11" spans="1:11" x14ac:dyDescent="0.25">
      <c r="A11" s="24">
        <v>181</v>
      </c>
      <c r="B11">
        <v>1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s="24">
        <v>80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s="25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s="23">
        <v>151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s="23">
        <v>206</v>
      </c>
      <c r="B15">
        <v>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s="23">
        <v>115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s="23">
        <v>56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s="23">
        <v>139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</row>
    <row r="19" spans="1:11" x14ac:dyDescent="0.25">
      <c r="A19" s="23">
        <v>202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</row>
    <row r="20" spans="1:11" x14ac:dyDescent="0.25">
      <c r="A20" s="24">
        <v>408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</row>
    <row r="21" spans="1:11" x14ac:dyDescent="0.25">
      <c r="A21" s="23">
        <v>283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</row>
    <row r="22" spans="1:11" x14ac:dyDescent="0.25">
      <c r="A22" s="23">
        <v>325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</row>
    <row r="23" spans="1:11" x14ac:dyDescent="0.25">
      <c r="A23" s="23">
        <v>233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</row>
    <row r="24" spans="1:11" x14ac:dyDescent="0.25">
      <c r="A24" s="23">
        <v>226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</row>
    <row r="25" spans="1:11" x14ac:dyDescent="0.25">
      <c r="A25" s="23">
        <v>84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</row>
    <row r="26" spans="1:11" x14ac:dyDescent="0.25">
      <c r="A26" s="23">
        <v>211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</row>
    <row r="27" spans="1:11" x14ac:dyDescent="0.25">
      <c r="A27" s="23">
        <v>206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</row>
    <row r="28" spans="1:11" x14ac:dyDescent="0.25">
      <c r="A28" s="23">
        <v>158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</row>
    <row r="29" spans="1:11" x14ac:dyDescent="0.25">
      <c r="A29" s="23">
        <v>316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</row>
    <row r="30" spans="1:11" x14ac:dyDescent="0.25">
      <c r="A30" s="23">
        <v>1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</row>
    <row r="31" spans="1:11" x14ac:dyDescent="0.25">
      <c r="A31" s="23">
        <v>206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</row>
    <row r="32" spans="1:11" x14ac:dyDescent="0.25">
      <c r="A32" s="23">
        <v>249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</row>
    <row r="33" spans="1:11" x14ac:dyDescent="0.25">
      <c r="A33" s="23">
        <v>273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</row>
    <row r="34" spans="1:11" x14ac:dyDescent="0.25">
      <c r="A34" s="23">
        <v>308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</row>
    <row r="35" spans="1:11" x14ac:dyDescent="0.25">
      <c r="A35" s="23">
        <v>195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</row>
    <row r="36" spans="1:11" x14ac:dyDescent="0.25">
      <c r="A36" s="23">
        <v>11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</row>
    <row r="37" spans="1:11" x14ac:dyDescent="0.25">
      <c r="A37" s="23">
        <v>94</v>
      </c>
      <c r="B37">
        <v>0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</row>
    <row r="38" spans="1:11" x14ac:dyDescent="0.25">
      <c r="A38" s="23">
        <v>60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s="23">
        <v>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s="23">
        <v>12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s="23">
        <v>95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s="23">
        <v>114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s="23">
        <v>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</row>
    <row r="44" spans="1:11" x14ac:dyDescent="0.25">
      <c r="A44" s="23">
        <v>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</row>
    <row r="45" spans="1:11" x14ac:dyDescent="0.25">
      <c r="A45" s="23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</row>
    <row r="46" spans="1:11" x14ac:dyDescent="0.25">
      <c r="A46" s="24">
        <v>47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</row>
    <row r="47" spans="1:11" x14ac:dyDescent="0.25">
      <c r="A47" s="24">
        <v>66</v>
      </c>
      <c r="B47">
        <v>0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s="24">
        <v>11</v>
      </c>
      <c r="B48">
        <v>0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s="24">
        <v>34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s="23">
        <v>44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s="23">
        <v>31</v>
      </c>
      <c r="B51">
        <v>0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s="23">
        <v>79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s="23">
        <v>56</v>
      </c>
      <c r="B53">
        <v>0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s="23">
        <v>72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</row>
    <row r="55" spans="1:11" x14ac:dyDescent="0.25">
      <c r="A55" s="23">
        <v>18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</row>
    <row r="56" spans="1:11" x14ac:dyDescent="0.25">
      <c r="A56" s="24">
        <v>126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</row>
    <row r="57" spans="1:11" x14ac:dyDescent="0.25">
      <c r="A57" s="23">
        <v>157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</row>
    <row r="58" spans="1:11" x14ac:dyDescent="0.25">
      <c r="A58" s="23">
        <v>47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</row>
    <row r="59" spans="1:11" x14ac:dyDescent="0.25">
      <c r="A59" s="23">
        <v>47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</row>
    <row r="60" spans="1:11" x14ac:dyDescent="0.25">
      <c r="A60" s="23">
        <v>57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</row>
    <row r="61" spans="1:11" x14ac:dyDescent="0.25">
      <c r="A61" s="23">
        <v>83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1</v>
      </c>
      <c r="J61">
        <v>0</v>
      </c>
      <c r="K61">
        <v>0</v>
      </c>
    </row>
    <row r="62" spans="1:11" x14ac:dyDescent="0.25">
      <c r="A62" s="23">
        <v>43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</row>
    <row r="63" spans="1:11" x14ac:dyDescent="0.25">
      <c r="A63" s="23">
        <v>92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</row>
    <row r="64" spans="1:11" x14ac:dyDescent="0.25">
      <c r="A64" s="23">
        <v>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</row>
    <row r="65" spans="1:11" x14ac:dyDescent="0.25">
      <c r="A65" s="23">
        <v>89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</row>
    <row r="66" spans="1:11" x14ac:dyDescent="0.25">
      <c r="A66" s="23">
        <v>9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</row>
    <row r="67" spans="1:11" x14ac:dyDescent="0.25">
      <c r="A67" s="23">
        <v>63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</row>
    <row r="68" spans="1:11" x14ac:dyDescent="0.25">
      <c r="A68" s="23">
        <v>113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</row>
    <row r="69" spans="1:11" x14ac:dyDescent="0.25">
      <c r="A69" s="23">
        <v>87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</row>
    <row r="70" spans="1:11" x14ac:dyDescent="0.25">
      <c r="A70" s="23">
        <v>81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</row>
    <row r="71" spans="1:11" x14ac:dyDescent="0.25">
      <c r="A71" s="23">
        <v>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</row>
    <row r="72" spans="1:11" x14ac:dyDescent="0.25">
      <c r="A72" s="23">
        <v>70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</row>
    <row r="73" spans="1:11" x14ac:dyDescent="0.25">
      <c r="A73" s="23">
        <v>46</v>
      </c>
      <c r="B73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60F7-59F6-48B3-8633-5634A7E29372}">
  <dimension ref="A1"/>
  <sheetViews>
    <sheetView topLeftCell="A19"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with differences</vt:lpstr>
      <vt:lpstr>Structured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Flowers, LeeAnn</dc:creator>
  <cp:lastModifiedBy>Abraham, Adam</cp:lastModifiedBy>
  <dcterms:created xsi:type="dcterms:W3CDTF">2022-12-27T19:04:54Z</dcterms:created>
  <dcterms:modified xsi:type="dcterms:W3CDTF">2023-02-03T17:02:10Z</dcterms:modified>
</cp:coreProperties>
</file>